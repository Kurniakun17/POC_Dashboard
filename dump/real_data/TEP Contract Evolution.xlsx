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olarbp.sharepoint.com/sites/TEPTrain3AnalyticsHub/Shared Documents/01_Raw_Data/01_TEP_Contract/"/>
    </mc:Choice>
  </mc:AlternateContent>
  <xr:revisionPtr revIDLastSave="71" documentId="8_{B0935499-D0A8-4830-B61F-A638E68FB39D}" xr6:coauthVersionLast="47" xr6:coauthVersionMax="47" xr10:uidLastSave="{961FCB7C-1C48-4988-AC3C-2DB3ADFDF5D1}"/>
  <bookViews>
    <workbookView xWindow="-103" yWindow="-103" windowWidth="22149" windowHeight="13320" firstSheet="1" activeTab="1" xr2:uid="{00000000-000D-0000-FFFF-FFFF00000000}"/>
  </bookViews>
  <sheets>
    <sheet name="Contract (2)" sheetId="3" state="hidden" r:id="rId1"/>
    <sheet name="Contra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3" l="1"/>
  <c r="H45" i="3"/>
  <c r="G45" i="3"/>
  <c r="I39" i="3"/>
  <c r="H39" i="3"/>
  <c r="G39" i="3"/>
  <c r="G37" i="3" s="1"/>
  <c r="I37" i="3"/>
  <c r="H37" i="3"/>
  <c r="F37" i="3"/>
  <c r="E37" i="3"/>
  <c r="D37" i="3"/>
  <c r="I35" i="3"/>
  <c r="H35" i="3"/>
  <c r="G35" i="3"/>
  <c r="F35" i="3"/>
  <c r="F25" i="3" s="1"/>
  <c r="I29" i="3"/>
  <c r="H29" i="3"/>
  <c r="G29" i="3"/>
  <c r="F29" i="3"/>
  <c r="I25" i="3"/>
  <c r="H25" i="3"/>
  <c r="G25" i="3"/>
  <c r="I19" i="3"/>
  <c r="H19" i="3"/>
  <c r="G19" i="3"/>
  <c r="F19" i="3"/>
  <c r="E19" i="3"/>
  <c r="E4" i="3" s="1"/>
  <c r="E47" i="3" s="1"/>
  <c r="D19" i="3"/>
  <c r="D4" i="3" s="1"/>
  <c r="D47" i="3" s="1"/>
  <c r="I11" i="3"/>
  <c r="H11" i="3"/>
  <c r="G11" i="3"/>
  <c r="F11" i="3"/>
  <c r="I7" i="3"/>
  <c r="I4" i="3" s="1"/>
  <c r="I47" i="3" s="1"/>
  <c r="H7" i="3"/>
  <c r="G7" i="3"/>
  <c r="F7" i="3"/>
  <c r="F4" i="3" s="1"/>
  <c r="F47" i="3" s="1"/>
  <c r="H4" i="3"/>
  <c r="H47" i="3" s="1"/>
  <c r="I45" i="2"/>
  <c r="H45" i="2"/>
  <c r="G45" i="2"/>
  <c r="I39" i="2"/>
  <c r="I37" i="2" s="1"/>
  <c r="H39" i="2"/>
  <c r="H37" i="2" s="1"/>
  <c r="G39" i="2"/>
  <c r="G37" i="2" s="1"/>
  <c r="F37" i="2"/>
  <c r="E37" i="2"/>
  <c r="D37" i="2"/>
  <c r="I29" i="2"/>
  <c r="I35" i="2" s="1"/>
  <c r="I25" i="2" s="1"/>
  <c r="H29" i="2"/>
  <c r="H35" i="2" s="1"/>
  <c r="H25" i="2" s="1"/>
  <c r="G29" i="2"/>
  <c r="G35" i="2" s="1"/>
  <c r="G25" i="2" s="1"/>
  <c r="F29" i="2"/>
  <c r="F35" i="2" s="1"/>
  <c r="F25" i="2" s="1"/>
  <c r="I19" i="2"/>
  <c r="H19" i="2"/>
  <c r="G19" i="2"/>
  <c r="F19" i="2"/>
  <c r="E19" i="2"/>
  <c r="E4" i="2" s="1"/>
  <c r="E47" i="2" s="1"/>
  <c r="D19" i="2"/>
  <c r="D4" i="2" s="1"/>
  <c r="D47" i="2" s="1"/>
  <c r="I11" i="2"/>
  <c r="H11" i="2"/>
  <c r="G11" i="2"/>
  <c r="F11" i="2"/>
  <c r="I7" i="2"/>
  <c r="H7" i="2"/>
  <c r="G7" i="2"/>
  <c r="F7" i="2"/>
  <c r="G4" i="3" l="1"/>
  <c r="G47" i="3" s="1"/>
  <c r="H4" i="2"/>
  <c r="H47" i="2" s="1"/>
  <c r="I4" i="2"/>
  <c r="I47" i="2" s="1"/>
  <c r="G4" i="2"/>
  <c r="G47" i="2" s="1"/>
  <c r="F4" i="2"/>
  <c r="F47" i="2" s="1"/>
</calcChain>
</file>

<file path=xl/sharedStrings.xml><?xml version="1.0" encoding="utf-8"?>
<sst xmlns="http://schemas.openxmlformats.org/spreadsheetml/2006/main" count="116" uniqueCount="49">
  <si>
    <t>Total CONTRACT PRICE</t>
  </si>
  <si>
    <t>Amount in USD</t>
  </si>
  <si>
    <t>No</t>
  </si>
  <si>
    <t>DESCRIPTION</t>
  </si>
  <si>
    <t>Original Contract</t>
  </si>
  <si>
    <t>Amendment 1</t>
  </si>
  <si>
    <t>Amendment 2</t>
  </si>
  <si>
    <t>Amendment 3</t>
  </si>
  <si>
    <t>Amendment 4</t>
  </si>
  <si>
    <t>Amendment 5</t>
  </si>
  <si>
    <t>A</t>
  </si>
  <si>
    <t>EPC LUMP SUM</t>
  </si>
  <si>
    <t>PROJECT MANAGEMENT</t>
  </si>
  <si>
    <t>ENGINEERING</t>
  </si>
  <si>
    <t>PROCUREMENT</t>
  </si>
  <si>
    <t>Procurement of Equipment</t>
  </si>
  <si>
    <t>Procurement of Bulk Material</t>
  </si>
  <si>
    <t>Capital Spare and Construction Spare</t>
  </si>
  <si>
    <t>CONSTRUCTION</t>
  </si>
  <si>
    <t>Permanent LNG Train &amp; Facilities</t>
  </si>
  <si>
    <t>Site Temp. Facilities, mob demob</t>
  </si>
  <si>
    <t>Facilities and services for COMPANY</t>
  </si>
  <si>
    <t>LOGISTICS</t>
  </si>
  <si>
    <t>COMMISSIONING</t>
  </si>
  <si>
    <t>SPENT MILESTONES PAYMENT</t>
  </si>
  <si>
    <t>REMAINING MILESTONES PAYMENT</t>
  </si>
  <si>
    <t>NOVATED CONTRACTS</t>
  </si>
  <si>
    <t>APCI Contract</t>
  </si>
  <si>
    <t>GE Contract</t>
  </si>
  <si>
    <t>APPROVED VOs (VO No. 1 - 9)</t>
  </si>
  <si>
    <t>APPROVED VOs (VO No. 10)</t>
  </si>
  <si>
    <t>Existing VORs agreed as part of AMENDMENT 3</t>
  </si>
  <si>
    <t>B</t>
  </si>
  <si>
    <t>REIMBURSABLE CHARGES</t>
  </si>
  <si>
    <t>List of VARIATIONS</t>
  </si>
  <si>
    <t>Subtotal Target Reimbursable Post FGRS Costs</t>
  </si>
  <si>
    <t>C</t>
  </si>
  <si>
    <t>PROVISIONAL SUM</t>
  </si>
  <si>
    <t>Provisional Sums</t>
  </si>
  <si>
    <t>Additional COVID-19 costs</t>
  </si>
  <si>
    <t>Direct COVID-19 Costs</t>
  </si>
  <si>
    <t>Other Related COVID-19 Costs</t>
  </si>
  <si>
    <t>COVID-19 Force Majeure Costs</t>
  </si>
  <si>
    <t>COVID-19 Tier 4 (Outbreak 2)</t>
  </si>
  <si>
    <t>Change in Labor Law (PP35)</t>
  </si>
  <si>
    <t>D</t>
  </si>
  <si>
    <t>BACKCHARGE</t>
  </si>
  <si>
    <t>Backcharge for Fuel Onshore Equipment</t>
  </si>
  <si>
    <t>Revised CONTRACT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</si>
</sst>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theme="1"/>
      <name val="Arial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DD9C4"/>
        <bgColor rgb="FFDDD9C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286C1"/>
        <bgColor rgb="FFF286C1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5" xfId="0" applyFont="1" applyFill="1" applyBorder="1"/>
    <xf numFmtId="3" fontId="3" fillId="8" borderId="6" xfId="0" applyNumberFormat="1" applyFont="1" applyFill="1" applyBorder="1"/>
    <xf numFmtId="0" fontId="4" fillId="0" borderId="8" xfId="0" applyFont="1" applyBorder="1"/>
    <xf numFmtId="3" fontId="4" fillId="0" borderId="3" xfId="0" applyNumberFormat="1" applyFont="1" applyBorder="1"/>
    <xf numFmtId="0" fontId="4" fillId="0" borderId="6" xfId="0" applyFont="1" applyBorder="1"/>
    <xf numFmtId="3" fontId="4" fillId="4" borderId="3" xfId="0" applyNumberFormat="1" applyFont="1" applyFill="1" applyBorder="1"/>
    <xf numFmtId="0" fontId="4" fillId="0" borderId="6" xfId="0" applyFont="1" applyBorder="1" applyAlignment="1">
      <alignment horizontal="left"/>
    </xf>
    <xf numFmtId="0" fontId="4" fillId="0" borderId="3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3" fillId="8" borderId="6" xfId="0" applyFont="1" applyFill="1" applyBorder="1"/>
    <xf numFmtId="3" fontId="4" fillId="0" borderId="8" xfId="0" applyNumberFormat="1" applyFont="1" applyBorder="1"/>
    <xf numFmtId="0" fontId="3" fillId="0" borderId="6" xfId="0" applyFont="1" applyBorder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/>
    <xf numFmtId="3" fontId="5" fillId="0" borderId="3" xfId="0" applyNumberFormat="1" applyFont="1" applyBorder="1"/>
    <xf numFmtId="0" fontId="5" fillId="0" borderId="8" xfId="0" applyFont="1" applyBorder="1"/>
    <xf numFmtId="0" fontId="5" fillId="0" borderId="8" xfId="0" applyFont="1" applyBorder="1" applyAlignment="1">
      <alignment horizontal="left"/>
    </xf>
    <xf numFmtId="3" fontId="5" fillId="4" borderId="3" xfId="0" applyNumberFormat="1" applyFont="1" applyFill="1" applyBorder="1"/>
    <xf numFmtId="0" fontId="5" fillId="0" borderId="3" xfId="0" applyFont="1" applyBorder="1"/>
    <xf numFmtId="0" fontId="3" fillId="0" borderId="8" xfId="0" applyFont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3" fontId="3" fillId="9" borderId="3" xfId="0" applyNumberFormat="1" applyFont="1" applyFill="1" applyBorder="1"/>
    <xf numFmtId="0" fontId="3" fillId="8" borderId="4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8" borderId="7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4" fillId="0" borderId="7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4" fillId="0" borderId="3" xfId="0" applyFont="1" applyBorder="1" applyAlignment="1">
      <alignment horizontal="left" indent="2"/>
    </xf>
    <xf numFmtId="0" fontId="5" fillId="0" borderId="3" xfId="0" applyFont="1" applyBorder="1" applyAlignment="1">
      <alignment horizontal="left" indent="1"/>
    </xf>
    <xf numFmtId="0" fontId="5" fillId="0" borderId="3" xfId="0" applyFont="1" applyBorder="1" applyAlignment="1">
      <alignment horizontal="left" indent="2"/>
    </xf>
    <xf numFmtId="0" fontId="6" fillId="0" borderId="3" xfId="0" applyFont="1" applyBorder="1" applyAlignment="1">
      <alignment horizontal="left" indent="2"/>
    </xf>
    <xf numFmtId="0" fontId="4" fillId="0" borderId="6" xfId="0" applyFont="1" applyBorder="1" applyAlignment="1">
      <alignment horizontal="left" indent="2"/>
    </xf>
    <xf numFmtId="0" fontId="5" fillId="0" borderId="6" xfId="0" applyFont="1" applyBorder="1" applyAlignment="1">
      <alignment horizontal="left" indent="2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195942</xdr:colOff>
      <xdr:row>1</xdr:row>
      <xdr:rowOff>179159</xdr:rowOff>
    </xdr:from>
    <xdr:to>
      <xdr:col>18</xdr:col>
      <xdr:colOff>440871</xdr:colOff>
      <xdr:row>16</xdr:row>
      <xdr:rowOff>154666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736A3-37CD-4448-AA25-70C880B74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5371" y="375102"/>
          <a:ext cx="8229600" cy="2914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234042</xdr:colOff>
      <xdr:row>1</xdr:row>
      <xdr:rowOff>195488</xdr:rowOff>
    </xdr:from>
    <xdr:to>
      <xdr:col>19</xdr:col>
      <xdr:colOff>254703</xdr:colOff>
      <xdr:row>18</xdr:row>
      <xdr:rowOff>33170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2C603-419E-489E-9E49-A8986758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3771" y="391431"/>
          <a:ext cx="8946946" cy="316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4F80-A556-44A8-9567-6BBF60766B53}">
  <sheetPr>
    <outlinePr summaryBelow="0" summaryRight="0"/>
  </sheetPr>
  <dimension ref="B2:I47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3515625" defaultRowHeight="15.75" customHeight="1" x14ac:dyDescent="0.3"/>
  <cols>
    <col min="1" max="1" width="2.69140625" customWidth="1"/>
    <col min="2" max="2" width="6.3046875" bestFit="1" customWidth="1"/>
    <col min="3" max="3" width="35" customWidth="1"/>
    <col min="4" max="4" width="13.84375" bestFit="1" customWidth="1"/>
    <col min="5" max="5" width="13.3828125" customWidth="1"/>
    <col min="6" max="6" width="15" customWidth="1"/>
    <col min="7" max="8" width="17.15234375" customWidth="1"/>
    <col min="9" max="9" width="14.84375" customWidth="1"/>
  </cols>
  <sheetData>
    <row r="2" spans="2:9" ht="15.75" customHeight="1" x14ac:dyDescent="0.4">
      <c r="B2" s="47" t="s">
        <v>0</v>
      </c>
      <c r="C2" s="48"/>
      <c r="D2" s="1" t="s">
        <v>1</v>
      </c>
      <c r="E2" s="1"/>
      <c r="F2" s="1"/>
      <c r="G2" s="1"/>
      <c r="H2" s="2"/>
      <c r="I2" s="1"/>
    </row>
    <row r="3" spans="2:9" ht="15.75" customHeight="1" x14ac:dyDescent="0.3"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10" t="s">
        <v>9</v>
      </c>
    </row>
    <row r="4" spans="2:9" ht="15.75" customHeight="1" x14ac:dyDescent="0.3">
      <c r="B4" s="34" t="s">
        <v>10</v>
      </c>
      <c r="C4" s="11" t="s">
        <v>11</v>
      </c>
      <c r="D4" s="12">
        <f t="shared" ref="D4:I4" si="0">D5+D6+D7+D11+D15+D16+D17+D18+D19+D22+D23+D24</f>
        <v>2396417606</v>
      </c>
      <c r="E4" s="12">
        <f t="shared" si="0"/>
        <v>2330894610</v>
      </c>
      <c r="F4" s="12">
        <f t="shared" si="0"/>
        <v>2666580182</v>
      </c>
      <c r="G4" s="12">
        <f t="shared" si="0"/>
        <v>2643421716</v>
      </c>
      <c r="H4" s="12">
        <f t="shared" si="0"/>
        <v>2643421716</v>
      </c>
      <c r="I4" s="12">
        <f t="shared" si="0"/>
        <v>2643421716</v>
      </c>
    </row>
    <row r="5" spans="2:9" ht="15.75" customHeight="1" x14ac:dyDescent="0.3">
      <c r="B5" s="39">
        <v>1</v>
      </c>
      <c r="C5" s="13" t="s">
        <v>12</v>
      </c>
      <c r="D5" s="14">
        <v>157861778</v>
      </c>
      <c r="E5" s="14">
        <v>157861778</v>
      </c>
      <c r="F5" s="14">
        <v>179224169</v>
      </c>
      <c r="G5" s="14">
        <v>174224492</v>
      </c>
      <c r="H5" s="14">
        <v>174224492</v>
      </c>
      <c r="I5" s="14">
        <v>174224492</v>
      </c>
    </row>
    <row r="6" spans="2:9" ht="15.75" customHeight="1" x14ac:dyDescent="0.3">
      <c r="B6" s="40">
        <v>2</v>
      </c>
      <c r="C6" s="15" t="s">
        <v>13</v>
      </c>
      <c r="D6" s="14">
        <v>149829449</v>
      </c>
      <c r="E6" s="16">
        <v>149829449</v>
      </c>
      <c r="F6" s="16">
        <v>223418208</v>
      </c>
      <c r="G6" s="14">
        <v>222446401</v>
      </c>
      <c r="H6" s="14">
        <v>222446401</v>
      </c>
      <c r="I6" s="14">
        <v>222446401</v>
      </c>
    </row>
    <row r="7" spans="2:9" ht="15.75" customHeight="1" x14ac:dyDescent="0.3">
      <c r="B7" s="40">
        <v>3</v>
      </c>
      <c r="C7" s="15" t="s">
        <v>14</v>
      </c>
      <c r="D7" s="14">
        <v>606018791</v>
      </c>
      <c r="E7" s="14">
        <v>606018791</v>
      </c>
      <c r="F7" s="14">
        <f t="shared" ref="F7:I7" si="1">SUM(F8:F10)</f>
        <v>637862285</v>
      </c>
      <c r="G7" s="14">
        <f t="shared" si="1"/>
        <v>637862285</v>
      </c>
      <c r="H7" s="14">
        <f t="shared" si="1"/>
        <v>637862285</v>
      </c>
      <c r="I7" s="14">
        <f t="shared" si="1"/>
        <v>637862285</v>
      </c>
    </row>
    <row r="8" spans="2:9" ht="15.75" customHeight="1" x14ac:dyDescent="0.3">
      <c r="B8" s="44">
        <v>3.1</v>
      </c>
      <c r="C8" s="45" t="s">
        <v>15</v>
      </c>
      <c r="D8" s="18"/>
      <c r="E8" s="18"/>
      <c r="F8" s="14">
        <v>315071544</v>
      </c>
      <c r="G8" s="14">
        <v>311065225</v>
      </c>
      <c r="H8" s="14">
        <v>311065225</v>
      </c>
      <c r="I8" s="14">
        <v>311065225</v>
      </c>
    </row>
    <row r="9" spans="2:9" ht="15.75" customHeight="1" x14ac:dyDescent="0.3">
      <c r="B9" s="44">
        <v>3.2</v>
      </c>
      <c r="C9" s="45" t="s">
        <v>16</v>
      </c>
      <c r="D9" s="18"/>
      <c r="E9" s="18"/>
      <c r="F9" s="14">
        <v>314408323</v>
      </c>
      <c r="G9" s="14">
        <v>326797060</v>
      </c>
      <c r="H9" s="14">
        <v>326797060</v>
      </c>
      <c r="I9" s="14">
        <v>326797060</v>
      </c>
    </row>
    <row r="10" spans="2:9" ht="15.75" customHeight="1" x14ac:dyDescent="0.3">
      <c r="B10" s="44">
        <v>3.3</v>
      </c>
      <c r="C10" s="45" t="s">
        <v>17</v>
      </c>
      <c r="D10" s="18"/>
      <c r="E10" s="18"/>
      <c r="F10" s="14">
        <v>8382418</v>
      </c>
      <c r="G10" s="18"/>
      <c r="H10" s="18"/>
      <c r="I10" s="18"/>
    </row>
    <row r="11" spans="2:9" ht="15.75" customHeight="1" x14ac:dyDescent="0.3">
      <c r="B11" s="40">
        <v>4</v>
      </c>
      <c r="C11" s="15" t="s">
        <v>18</v>
      </c>
      <c r="D11" s="14">
        <v>877712530</v>
      </c>
      <c r="E11" s="14">
        <v>877712530</v>
      </c>
      <c r="F11" s="14">
        <f t="shared" ref="F11:I11" si="2">SUM(F12:F14)</f>
        <v>558735886</v>
      </c>
      <c r="G11" s="14">
        <f t="shared" si="2"/>
        <v>516259632</v>
      </c>
      <c r="H11" s="14">
        <f t="shared" si="2"/>
        <v>516259632</v>
      </c>
      <c r="I11" s="14">
        <f t="shared" si="2"/>
        <v>516259632</v>
      </c>
    </row>
    <row r="12" spans="2:9" ht="15.75" customHeight="1" x14ac:dyDescent="0.3">
      <c r="B12" s="41">
        <v>4.0999999999999996</v>
      </c>
      <c r="C12" s="45" t="s">
        <v>19</v>
      </c>
      <c r="D12" s="18"/>
      <c r="E12" s="18"/>
      <c r="F12" s="14">
        <v>201359259</v>
      </c>
      <c r="G12" s="14">
        <v>180462938</v>
      </c>
      <c r="H12" s="14">
        <v>180462938</v>
      </c>
      <c r="I12" s="14">
        <v>180462938</v>
      </c>
    </row>
    <row r="13" spans="2:9" ht="15.75" customHeight="1" x14ac:dyDescent="0.3">
      <c r="B13" s="41">
        <v>4.2</v>
      </c>
      <c r="C13" s="45" t="s">
        <v>20</v>
      </c>
      <c r="D13" s="18"/>
      <c r="E13" s="18"/>
      <c r="F13" s="14">
        <v>346210292</v>
      </c>
      <c r="G13" s="14">
        <v>335796694</v>
      </c>
      <c r="H13" s="14">
        <v>335796694</v>
      </c>
      <c r="I13" s="14">
        <v>335796694</v>
      </c>
    </row>
    <row r="14" spans="2:9" ht="15.75" customHeight="1" x14ac:dyDescent="0.3">
      <c r="B14" s="41">
        <v>4.3</v>
      </c>
      <c r="C14" s="45" t="s">
        <v>21</v>
      </c>
      <c r="D14" s="18"/>
      <c r="E14" s="18"/>
      <c r="F14" s="14">
        <v>11166335</v>
      </c>
      <c r="G14" s="18"/>
      <c r="H14" s="18"/>
      <c r="I14" s="18"/>
    </row>
    <row r="15" spans="2:9" ht="15.75" customHeight="1" x14ac:dyDescent="0.3">
      <c r="B15" s="40">
        <v>5</v>
      </c>
      <c r="C15" s="15" t="s">
        <v>22</v>
      </c>
      <c r="D15" s="14">
        <v>278555634</v>
      </c>
      <c r="E15" s="14">
        <v>278555634</v>
      </c>
      <c r="F15" s="14">
        <v>163698976</v>
      </c>
      <c r="G15" s="14">
        <v>180842196</v>
      </c>
      <c r="H15" s="14">
        <v>180842196</v>
      </c>
      <c r="I15" s="14">
        <v>180842196</v>
      </c>
    </row>
    <row r="16" spans="2:9" ht="15.75" customHeight="1" x14ac:dyDescent="0.3">
      <c r="B16" s="40">
        <v>6</v>
      </c>
      <c r="C16" s="15" t="s">
        <v>23</v>
      </c>
      <c r="D16" s="14">
        <v>39306324</v>
      </c>
      <c r="E16" s="14">
        <v>39306324</v>
      </c>
      <c r="F16" s="14">
        <v>12831455</v>
      </c>
      <c r="G16" s="14">
        <v>10304365</v>
      </c>
      <c r="H16" s="14">
        <v>10304365</v>
      </c>
      <c r="I16" s="14">
        <v>10304365</v>
      </c>
    </row>
    <row r="17" spans="2:9" ht="15.75" customHeight="1" x14ac:dyDescent="0.3">
      <c r="B17" s="40">
        <v>7</v>
      </c>
      <c r="C17" s="19" t="s">
        <v>24</v>
      </c>
      <c r="D17" s="18"/>
      <c r="E17" s="18"/>
      <c r="F17" s="16">
        <v>247840929</v>
      </c>
      <c r="G17" s="16">
        <v>617840931</v>
      </c>
      <c r="H17" s="16">
        <v>617840931</v>
      </c>
      <c r="I17" s="16">
        <v>617840931</v>
      </c>
    </row>
    <row r="18" spans="2:9" ht="15.75" customHeight="1" x14ac:dyDescent="0.3">
      <c r="B18" s="40">
        <v>8</v>
      </c>
      <c r="C18" s="19" t="s">
        <v>25</v>
      </c>
      <c r="D18" s="18"/>
      <c r="E18" s="18"/>
      <c r="F18" s="16">
        <v>395000000</v>
      </c>
      <c r="G18" s="16">
        <v>24999998</v>
      </c>
      <c r="H18" s="16">
        <v>24999998</v>
      </c>
      <c r="I18" s="16">
        <v>24999998</v>
      </c>
    </row>
    <row r="19" spans="2:9" ht="15.75" customHeight="1" x14ac:dyDescent="0.3">
      <c r="B19" s="40">
        <v>9</v>
      </c>
      <c r="C19" s="15" t="s">
        <v>26</v>
      </c>
      <c r="D19" s="14">
        <f t="shared" ref="D19:I19" si="3">SUM(D20:D21)</f>
        <v>287133100</v>
      </c>
      <c r="E19" s="14">
        <f t="shared" si="3"/>
        <v>221610104</v>
      </c>
      <c r="F19" s="14">
        <f t="shared" si="3"/>
        <v>221610104</v>
      </c>
      <c r="G19" s="14">
        <f t="shared" si="3"/>
        <v>221610104</v>
      </c>
      <c r="H19" s="14">
        <f t="shared" si="3"/>
        <v>221610104</v>
      </c>
      <c r="I19" s="14">
        <f t="shared" si="3"/>
        <v>221610104</v>
      </c>
    </row>
    <row r="20" spans="2:9" ht="15.75" customHeight="1" x14ac:dyDescent="0.3">
      <c r="B20" s="44">
        <v>9.1</v>
      </c>
      <c r="C20" s="45" t="s">
        <v>27</v>
      </c>
      <c r="D20" s="14">
        <v>37133100</v>
      </c>
      <c r="E20" s="14">
        <v>39111743</v>
      </c>
      <c r="F20" s="14">
        <v>39111743</v>
      </c>
      <c r="G20" s="14">
        <v>39111743</v>
      </c>
      <c r="H20" s="14">
        <v>39111743</v>
      </c>
      <c r="I20" s="14">
        <v>39111743</v>
      </c>
    </row>
    <row r="21" spans="2:9" ht="15.75" customHeight="1" x14ac:dyDescent="0.3">
      <c r="B21" s="44">
        <v>9.1999999999999993</v>
      </c>
      <c r="C21" s="45" t="s">
        <v>28</v>
      </c>
      <c r="D21" s="14">
        <v>250000000</v>
      </c>
      <c r="E21" s="14">
        <v>182498361</v>
      </c>
      <c r="F21" s="14">
        <v>182498361</v>
      </c>
      <c r="G21" s="14">
        <v>182498361</v>
      </c>
      <c r="H21" s="14">
        <v>182498361</v>
      </c>
      <c r="I21" s="14">
        <v>182498361</v>
      </c>
    </row>
    <row r="22" spans="2:9" ht="15.75" customHeight="1" x14ac:dyDescent="0.3">
      <c r="B22" s="42">
        <v>10</v>
      </c>
      <c r="C22" s="20" t="s">
        <v>29</v>
      </c>
      <c r="D22" s="18"/>
      <c r="E22" s="18"/>
      <c r="F22" s="14">
        <v>26358170</v>
      </c>
      <c r="G22" s="14">
        <v>26358170</v>
      </c>
      <c r="H22" s="14">
        <v>26358170</v>
      </c>
      <c r="I22" s="14">
        <v>26358170</v>
      </c>
    </row>
    <row r="23" spans="2:9" ht="15.75" customHeight="1" x14ac:dyDescent="0.3">
      <c r="B23" s="42">
        <v>11</v>
      </c>
      <c r="C23" s="20" t="s">
        <v>30</v>
      </c>
      <c r="D23" s="18"/>
      <c r="E23" s="18"/>
      <c r="F23" s="18"/>
      <c r="G23" s="14">
        <v>6788254</v>
      </c>
      <c r="H23" s="14">
        <v>6788254</v>
      </c>
      <c r="I23" s="14">
        <v>6788254</v>
      </c>
    </row>
    <row r="24" spans="2:9" ht="15.75" customHeight="1" x14ac:dyDescent="0.3">
      <c r="B24" s="42">
        <v>12</v>
      </c>
      <c r="C24" s="20" t="s">
        <v>31</v>
      </c>
      <c r="D24" s="18"/>
      <c r="E24" s="18"/>
      <c r="F24" s="18"/>
      <c r="G24" s="14">
        <v>3884888</v>
      </c>
      <c r="H24" s="14">
        <v>3884888</v>
      </c>
      <c r="I24" s="14">
        <v>3884888</v>
      </c>
    </row>
    <row r="25" spans="2:9" ht="15.75" customHeight="1" x14ac:dyDescent="0.3">
      <c r="B25" s="36" t="s">
        <v>32</v>
      </c>
      <c r="C25" s="21" t="s">
        <v>33</v>
      </c>
      <c r="D25" s="21"/>
      <c r="E25" s="21"/>
      <c r="F25" s="12">
        <f t="shared" ref="F25:I25" si="4">F35+F36</f>
        <v>438061697</v>
      </c>
      <c r="G25" s="12">
        <f t="shared" si="4"/>
        <v>731743291</v>
      </c>
      <c r="H25" s="12">
        <f t="shared" si="4"/>
        <v>1196229990</v>
      </c>
      <c r="I25" s="12">
        <f t="shared" si="4"/>
        <v>1957442382</v>
      </c>
    </row>
    <row r="26" spans="2:9" ht="15.75" customHeight="1" x14ac:dyDescent="0.3">
      <c r="B26" s="40">
        <v>1</v>
      </c>
      <c r="C26" s="15" t="s">
        <v>12</v>
      </c>
      <c r="D26" s="13"/>
      <c r="E26" s="13"/>
      <c r="F26" s="22">
        <v>35824735</v>
      </c>
      <c r="G26" s="14">
        <v>83601424</v>
      </c>
      <c r="H26" s="14">
        <v>119991901</v>
      </c>
      <c r="I26" s="14">
        <v>213075246</v>
      </c>
    </row>
    <row r="27" spans="2:9" ht="12.45" x14ac:dyDescent="0.3">
      <c r="B27" s="40">
        <v>2</v>
      </c>
      <c r="C27" s="15" t="s">
        <v>13</v>
      </c>
      <c r="D27" s="13"/>
      <c r="E27" s="13"/>
      <c r="F27" s="22">
        <v>2862134</v>
      </c>
      <c r="G27" s="14">
        <v>4910487</v>
      </c>
      <c r="H27" s="14">
        <v>18610580</v>
      </c>
      <c r="I27" s="14">
        <v>32772204</v>
      </c>
    </row>
    <row r="28" spans="2:9" ht="12.45" x14ac:dyDescent="0.3">
      <c r="B28" s="40">
        <v>3</v>
      </c>
      <c r="C28" s="15" t="s">
        <v>14</v>
      </c>
      <c r="D28" s="13"/>
      <c r="E28" s="13"/>
      <c r="F28" s="13"/>
      <c r="G28" s="18"/>
      <c r="H28" s="14">
        <v>6712090</v>
      </c>
      <c r="I28" s="14">
        <v>15523108</v>
      </c>
    </row>
    <row r="29" spans="2:9" ht="12.45" x14ac:dyDescent="0.3">
      <c r="B29" s="40">
        <v>4</v>
      </c>
      <c r="C29" s="15" t="s">
        <v>18</v>
      </c>
      <c r="D29" s="13"/>
      <c r="E29" s="13"/>
      <c r="F29" s="22">
        <f t="shared" ref="F29:I29" si="5">SUM(F30:F32)</f>
        <v>122903506</v>
      </c>
      <c r="G29" s="22">
        <f t="shared" si="5"/>
        <v>306760057</v>
      </c>
      <c r="H29" s="22">
        <f t="shared" si="5"/>
        <v>612019910</v>
      </c>
      <c r="I29" s="22">
        <f t="shared" si="5"/>
        <v>1094006822</v>
      </c>
    </row>
    <row r="30" spans="2:9" ht="12.45" x14ac:dyDescent="0.3">
      <c r="B30" s="41">
        <v>4.0999999999999996</v>
      </c>
      <c r="C30" s="45" t="s">
        <v>19</v>
      </c>
      <c r="D30" s="13"/>
      <c r="E30" s="13"/>
      <c r="F30" s="22">
        <v>88093907</v>
      </c>
      <c r="G30" s="16">
        <v>213696279</v>
      </c>
      <c r="H30" s="16">
        <v>362618546</v>
      </c>
      <c r="I30" s="16">
        <v>660389140</v>
      </c>
    </row>
    <row r="31" spans="2:9" ht="12.45" x14ac:dyDescent="0.3">
      <c r="B31" s="41">
        <v>4.2</v>
      </c>
      <c r="C31" s="45" t="s">
        <v>20</v>
      </c>
      <c r="D31" s="13"/>
      <c r="E31" s="13"/>
      <c r="F31" s="22">
        <v>34809599</v>
      </c>
      <c r="G31" s="16">
        <v>93063778</v>
      </c>
      <c r="H31" s="16">
        <v>249401364</v>
      </c>
      <c r="I31" s="16">
        <v>433617682</v>
      </c>
    </row>
    <row r="32" spans="2:9" ht="12.45" x14ac:dyDescent="0.3">
      <c r="B32" s="41">
        <v>4.3</v>
      </c>
      <c r="C32" s="45" t="s">
        <v>21</v>
      </c>
      <c r="D32" s="13"/>
      <c r="E32" s="13"/>
      <c r="F32" s="13"/>
      <c r="G32" s="18"/>
      <c r="H32" s="18"/>
      <c r="I32" s="18"/>
    </row>
    <row r="33" spans="2:9" ht="12.45" x14ac:dyDescent="0.3">
      <c r="B33" s="40">
        <v>5</v>
      </c>
      <c r="C33" s="15" t="s">
        <v>23</v>
      </c>
      <c r="D33" s="13"/>
      <c r="E33" s="13"/>
      <c r="F33" s="22">
        <v>26471322</v>
      </c>
      <c r="G33" s="16">
        <v>26471323</v>
      </c>
      <c r="H33" s="16">
        <v>59502125</v>
      </c>
      <c r="I33" s="16">
        <v>106013242</v>
      </c>
    </row>
    <row r="34" spans="2:9" ht="12.45" x14ac:dyDescent="0.3">
      <c r="B34" s="40">
        <v>6</v>
      </c>
      <c r="C34" s="15" t="s">
        <v>34</v>
      </c>
      <c r="D34" s="13"/>
      <c r="E34" s="13"/>
      <c r="F34" s="13"/>
      <c r="G34" s="18"/>
      <c r="H34" s="16">
        <v>36933653</v>
      </c>
      <c r="I34" s="16">
        <v>48733653</v>
      </c>
    </row>
    <row r="35" spans="2:9" ht="12.45" x14ac:dyDescent="0.3">
      <c r="B35" s="35"/>
      <c r="C35" s="23" t="s">
        <v>35</v>
      </c>
      <c r="D35" s="24"/>
      <c r="E35" s="24"/>
      <c r="F35" s="25">
        <f t="shared" ref="F35:I35" si="6">F26+F27+F28+F29+F33+F34</f>
        <v>188061697</v>
      </c>
      <c r="G35" s="25">
        <f t="shared" si="6"/>
        <v>421743291</v>
      </c>
      <c r="H35" s="25">
        <f t="shared" si="6"/>
        <v>853770259</v>
      </c>
      <c r="I35" s="25">
        <f t="shared" si="6"/>
        <v>1510124275</v>
      </c>
    </row>
    <row r="36" spans="2:9" ht="12.45" x14ac:dyDescent="0.3">
      <c r="B36" s="40">
        <v>7</v>
      </c>
      <c r="C36" s="15" t="s">
        <v>22</v>
      </c>
      <c r="D36" s="18"/>
      <c r="E36" s="18"/>
      <c r="F36" s="16">
        <v>250000000</v>
      </c>
      <c r="G36" s="16">
        <v>310000000</v>
      </c>
      <c r="H36" s="16">
        <v>342459731</v>
      </c>
      <c r="I36" s="16">
        <v>447318107</v>
      </c>
    </row>
    <row r="37" spans="2:9" ht="12.45" x14ac:dyDescent="0.3">
      <c r="B37" s="37" t="s">
        <v>36</v>
      </c>
      <c r="C37" s="21" t="s">
        <v>37</v>
      </c>
      <c r="D37" s="12">
        <f t="shared" ref="D37:I37" si="7">D38+D39+D44</f>
        <v>36358120</v>
      </c>
      <c r="E37" s="12">
        <f t="shared" si="7"/>
        <v>36358120</v>
      </c>
      <c r="F37" s="12">
        <f t="shared" si="7"/>
        <v>36358120</v>
      </c>
      <c r="G37" s="12">
        <f t="shared" si="7"/>
        <v>272958120</v>
      </c>
      <c r="H37" s="12">
        <f t="shared" si="7"/>
        <v>444542262</v>
      </c>
      <c r="I37" s="12">
        <f t="shared" si="7"/>
        <v>466750580</v>
      </c>
    </row>
    <row r="38" spans="2:9" ht="12.45" x14ac:dyDescent="0.3">
      <c r="B38" s="40">
        <v>1</v>
      </c>
      <c r="C38" s="19" t="s">
        <v>38</v>
      </c>
      <c r="D38" s="26">
        <v>36358120</v>
      </c>
      <c r="E38" s="26">
        <v>36358120</v>
      </c>
      <c r="F38" s="26">
        <v>36358120</v>
      </c>
      <c r="G38" s="26">
        <v>36358120</v>
      </c>
      <c r="H38" s="26">
        <v>36358120</v>
      </c>
      <c r="I38" s="26">
        <v>36358120</v>
      </c>
    </row>
    <row r="39" spans="2:9" ht="12.45" x14ac:dyDescent="0.3">
      <c r="B39" s="42">
        <v>2</v>
      </c>
      <c r="C39" s="19" t="s">
        <v>39</v>
      </c>
      <c r="D39" s="27"/>
      <c r="E39" s="27"/>
      <c r="F39" s="27"/>
      <c r="G39" s="26">
        <f t="shared" ref="G39:I39" si="8">SUM(G40:G43)</f>
        <v>236600000</v>
      </c>
      <c r="H39" s="26">
        <f t="shared" si="8"/>
        <v>408184142</v>
      </c>
      <c r="I39" s="26">
        <f t="shared" si="8"/>
        <v>420177116</v>
      </c>
    </row>
    <row r="40" spans="2:9" ht="12.45" x14ac:dyDescent="0.3">
      <c r="B40" s="43">
        <v>2.1</v>
      </c>
      <c r="C40" s="46" t="s">
        <v>40</v>
      </c>
      <c r="D40" s="28"/>
      <c r="E40" s="28"/>
      <c r="F40" s="28"/>
      <c r="G40" s="29">
        <v>206600000</v>
      </c>
      <c r="H40" s="29">
        <v>244937495</v>
      </c>
      <c r="I40" s="29">
        <v>244937495</v>
      </c>
    </row>
    <row r="41" spans="2:9" ht="12.45" x14ac:dyDescent="0.3">
      <c r="B41" s="43">
        <v>2.2000000000000002</v>
      </c>
      <c r="C41" s="46" t="s">
        <v>41</v>
      </c>
      <c r="D41" s="28"/>
      <c r="E41" s="28"/>
      <c r="F41" s="28"/>
      <c r="G41" s="29">
        <v>30000000</v>
      </c>
      <c r="H41" s="29">
        <v>30000000</v>
      </c>
      <c r="I41" s="29">
        <v>30000000</v>
      </c>
    </row>
    <row r="42" spans="2:9" ht="12.45" x14ac:dyDescent="0.3">
      <c r="B42" s="43">
        <v>2.2999999999999998</v>
      </c>
      <c r="C42" s="46" t="s">
        <v>42</v>
      </c>
      <c r="D42" s="28"/>
      <c r="E42" s="28"/>
      <c r="F42" s="28"/>
      <c r="G42" s="30"/>
      <c r="H42" s="29">
        <v>133246647</v>
      </c>
      <c r="I42" s="29">
        <v>95815523</v>
      </c>
    </row>
    <row r="43" spans="2:9" ht="12.45" x14ac:dyDescent="0.3">
      <c r="B43" s="43">
        <v>2.4</v>
      </c>
      <c r="C43" s="46" t="s">
        <v>43</v>
      </c>
      <c r="D43" s="28"/>
      <c r="E43" s="28"/>
      <c r="F43" s="28"/>
      <c r="G43" s="30"/>
      <c r="H43" s="30"/>
      <c r="I43" s="29">
        <v>49424098</v>
      </c>
    </row>
    <row r="44" spans="2:9" ht="12.45" x14ac:dyDescent="0.3">
      <c r="B44" s="42">
        <v>3</v>
      </c>
      <c r="C44" s="20" t="s">
        <v>44</v>
      </c>
      <c r="D44" s="28"/>
      <c r="E44" s="28"/>
      <c r="F44" s="28"/>
      <c r="G44" s="30"/>
      <c r="H44" s="30"/>
      <c r="I44" s="26">
        <v>10215344</v>
      </c>
    </row>
    <row r="45" spans="2:9" ht="12.45" x14ac:dyDescent="0.3">
      <c r="B45" s="37" t="s">
        <v>45</v>
      </c>
      <c r="C45" s="21" t="s">
        <v>46</v>
      </c>
      <c r="D45" s="21"/>
      <c r="E45" s="21"/>
      <c r="F45" s="21"/>
      <c r="G45" s="12">
        <f t="shared" ref="G45:I45" si="9">SUM(G46)</f>
        <v>-19743290</v>
      </c>
      <c r="H45" s="12">
        <f t="shared" si="9"/>
        <v>-19743290</v>
      </c>
      <c r="I45" s="12">
        <f t="shared" si="9"/>
        <v>-19743290</v>
      </c>
    </row>
    <row r="46" spans="2:9" ht="12.45" x14ac:dyDescent="0.3">
      <c r="B46" s="40">
        <v>1</v>
      </c>
      <c r="C46" s="17" t="s">
        <v>47</v>
      </c>
      <c r="D46" s="31"/>
      <c r="E46" s="31"/>
      <c r="F46" s="31"/>
      <c r="G46" s="26">
        <v>-19743290</v>
      </c>
      <c r="H46" s="26">
        <v>-19743290</v>
      </c>
      <c r="I46" s="26">
        <v>-19743290</v>
      </c>
    </row>
    <row r="47" spans="2:9" ht="12.45" x14ac:dyDescent="0.3">
      <c r="B47" s="38"/>
      <c r="C47" s="32" t="s">
        <v>48</v>
      </c>
      <c r="D47" s="33">
        <f t="shared" ref="D47:I47" si="10">D4+D25+D37+D45</f>
        <v>2432775726</v>
      </c>
      <c r="E47" s="33">
        <f t="shared" si="10"/>
        <v>2367252730</v>
      </c>
      <c r="F47" s="33">
        <f t="shared" si="10"/>
        <v>3140999999</v>
      </c>
      <c r="G47" s="33">
        <f t="shared" si="10"/>
        <v>3628379837</v>
      </c>
      <c r="H47" s="33">
        <f t="shared" si="10"/>
        <v>4264450678</v>
      </c>
      <c r="I47" s="33">
        <f t="shared" si="10"/>
        <v>5047871388</v>
      </c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2423-3D23-4E13-8B66-D661F85C30CB}">
  <sheetPr>
    <outlinePr summaryBelow="0" summaryRight="0"/>
  </sheetPr>
  <dimension ref="B2:I47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53515625" defaultRowHeight="15.75" customHeight="1" x14ac:dyDescent="0.3"/>
  <cols>
    <col min="1" max="1" width="2.69140625" customWidth="1"/>
    <col min="2" max="2" width="6.3046875" bestFit="1" customWidth="1"/>
    <col min="3" max="3" width="35" customWidth="1"/>
    <col min="4" max="4" width="13.84375" bestFit="1" customWidth="1"/>
    <col min="5" max="9" width="11.53515625" bestFit="1" customWidth="1"/>
  </cols>
  <sheetData>
    <row r="2" spans="2:9" ht="15.75" customHeight="1" x14ac:dyDescent="0.4">
      <c r="B2" s="47" t="s">
        <v>0</v>
      </c>
      <c r="C2" s="48"/>
      <c r="D2" s="1" t="s">
        <v>1</v>
      </c>
      <c r="E2" s="1"/>
      <c r="F2" s="1"/>
      <c r="G2" s="1"/>
      <c r="H2" s="2"/>
      <c r="I2" s="1"/>
    </row>
    <row r="3" spans="2:9" ht="15.75" customHeight="1" x14ac:dyDescent="0.3"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10" t="s">
        <v>9</v>
      </c>
    </row>
    <row r="4" spans="2:9" ht="15.75" customHeight="1" x14ac:dyDescent="0.3">
      <c r="B4" s="34" t="s">
        <v>10</v>
      </c>
      <c r="C4" s="11" t="s">
        <v>11</v>
      </c>
      <c r="D4" s="12">
        <f t="shared" ref="D4:I4" si="0">D5+D6+D7+D11+D15+D16+D17+D18+D19+D22+D23+D24</f>
        <v>2396417606</v>
      </c>
      <c r="E4" s="12">
        <f t="shared" si="0"/>
        <v>2330894610</v>
      </c>
      <c r="F4" s="12">
        <f t="shared" si="0"/>
        <v>2666580182</v>
      </c>
      <c r="G4" s="12">
        <f t="shared" si="0"/>
        <v>2643421716</v>
      </c>
      <c r="H4" s="12">
        <f t="shared" si="0"/>
        <v>2643421716</v>
      </c>
      <c r="I4" s="12">
        <f t="shared" si="0"/>
        <v>2643421716</v>
      </c>
    </row>
    <row r="5" spans="2:9" ht="15.75" customHeight="1" x14ac:dyDescent="0.3">
      <c r="B5" s="39">
        <v>1</v>
      </c>
      <c r="C5" s="13" t="s">
        <v>12</v>
      </c>
      <c r="D5" s="14">
        <v>157861778</v>
      </c>
      <c r="E5" s="14">
        <v>157861778</v>
      </c>
      <c r="F5" s="14">
        <v>179224169</v>
      </c>
      <c r="G5" s="14">
        <v>174224492</v>
      </c>
      <c r="H5" s="14">
        <v>174224492</v>
      </c>
      <c r="I5" s="14">
        <v>174224492</v>
      </c>
    </row>
    <row r="6" spans="2:9" ht="15.75" customHeight="1" x14ac:dyDescent="0.3">
      <c r="B6" s="40">
        <v>2</v>
      </c>
      <c r="C6" s="15" t="s">
        <v>13</v>
      </c>
      <c r="D6" s="14">
        <v>149829449</v>
      </c>
      <c r="E6" s="16">
        <v>149829449</v>
      </c>
      <c r="F6" s="16">
        <v>223418208</v>
      </c>
      <c r="G6" s="14">
        <v>222446401</v>
      </c>
      <c r="H6" s="14">
        <v>222446401</v>
      </c>
      <c r="I6" s="14">
        <v>222446401</v>
      </c>
    </row>
    <row r="7" spans="2:9" ht="15.75" customHeight="1" x14ac:dyDescent="0.3">
      <c r="B7" s="40">
        <v>3</v>
      </c>
      <c r="C7" s="15" t="s">
        <v>14</v>
      </c>
      <c r="D7" s="14">
        <v>606018791</v>
      </c>
      <c r="E7" s="14">
        <v>606018791</v>
      </c>
      <c r="F7" s="14">
        <f t="shared" ref="F7:I7" si="1">SUM(F8:F10)</f>
        <v>637862285</v>
      </c>
      <c r="G7" s="14">
        <f t="shared" si="1"/>
        <v>637862285</v>
      </c>
      <c r="H7" s="14">
        <f t="shared" si="1"/>
        <v>637862285</v>
      </c>
      <c r="I7" s="14">
        <f t="shared" si="1"/>
        <v>637862285</v>
      </c>
    </row>
    <row r="8" spans="2:9" ht="15.75" customHeight="1" x14ac:dyDescent="0.3">
      <c r="B8" s="44">
        <v>3.1</v>
      </c>
      <c r="C8" s="45" t="s">
        <v>15</v>
      </c>
      <c r="D8" s="18"/>
      <c r="E8" s="18"/>
      <c r="F8" s="14">
        <v>315071544</v>
      </c>
      <c r="G8" s="14">
        <v>311065225</v>
      </c>
      <c r="H8" s="14">
        <v>311065225</v>
      </c>
      <c r="I8" s="14">
        <v>311065225</v>
      </c>
    </row>
    <row r="9" spans="2:9" ht="15.75" customHeight="1" x14ac:dyDescent="0.3">
      <c r="B9" s="44">
        <v>3.2</v>
      </c>
      <c r="C9" s="45" t="s">
        <v>16</v>
      </c>
      <c r="D9" s="18"/>
      <c r="E9" s="18"/>
      <c r="F9" s="14">
        <v>314408323</v>
      </c>
      <c r="G9" s="14">
        <v>326797060</v>
      </c>
      <c r="H9" s="14">
        <v>326797060</v>
      </c>
      <c r="I9" s="14">
        <v>326797060</v>
      </c>
    </row>
    <row r="10" spans="2:9" ht="15.75" customHeight="1" x14ac:dyDescent="0.3">
      <c r="B10" s="44">
        <v>3.3</v>
      </c>
      <c r="C10" s="45" t="s">
        <v>17</v>
      </c>
      <c r="D10" s="18"/>
      <c r="E10" s="18"/>
      <c r="F10" s="14">
        <v>8382418</v>
      </c>
      <c r="G10" s="18"/>
      <c r="H10" s="18"/>
      <c r="I10" s="18"/>
    </row>
    <row r="11" spans="2:9" ht="15.75" customHeight="1" x14ac:dyDescent="0.3">
      <c r="B11" s="40">
        <v>4</v>
      </c>
      <c r="C11" s="15" t="s">
        <v>18</v>
      </c>
      <c r="D11" s="14">
        <v>877712530</v>
      </c>
      <c r="E11" s="14">
        <v>877712530</v>
      </c>
      <c r="F11" s="14">
        <f t="shared" ref="F11:I11" si="2">SUM(F12:F14)</f>
        <v>558735886</v>
      </c>
      <c r="G11" s="14">
        <f t="shared" si="2"/>
        <v>516259632</v>
      </c>
      <c r="H11" s="14">
        <f t="shared" si="2"/>
        <v>516259632</v>
      </c>
      <c r="I11" s="14">
        <f t="shared" si="2"/>
        <v>516259632</v>
      </c>
    </row>
    <row r="12" spans="2:9" ht="15.75" customHeight="1" x14ac:dyDescent="0.3">
      <c r="B12" s="41">
        <v>4.0999999999999996</v>
      </c>
      <c r="C12" s="45" t="s">
        <v>19</v>
      </c>
      <c r="D12" s="18"/>
      <c r="E12" s="18"/>
      <c r="F12" s="14">
        <v>201359259</v>
      </c>
      <c r="G12" s="14">
        <v>180462938</v>
      </c>
      <c r="H12" s="14">
        <v>180462938</v>
      </c>
      <c r="I12" s="14">
        <v>180462938</v>
      </c>
    </row>
    <row r="13" spans="2:9" ht="15.75" customHeight="1" x14ac:dyDescent="0.3">
      <c r="B13" s="41">
        <v>4.2</v>
      </c>
      <c r="C13" s="45" t="s">
        <v>20</v>
      </c>
      <c r="D13" s="18"/>
      <c r="E13" s="18"/>
      <c r="F13" s="14">
        <v>346210292</v>
      </c>
      <c r="G13" s="14">
        <v>335796694</v>
      </c>
      <c r="H13" s="14">
        <v>335796694</v>
      </c>
      <c r="I13" s="14">
        <v>335796694</v>
      </c>
    </row>
    <row r="14" spans="2:9" ht="15.75" customHeight="1" x14ac:dyDescent="0.3">
      <c r="B14" s="41">
        <v>4.3</v>
      </c>
      <c r="C14" s="45" t="s">
        <v>21</v>
      </c>
      <c r="D14" s="18"/>
      <c r="E14" s="18"/>
      <c r="F14" s="14">
        <v>11166335</v>
      </c>
      <c r="G14" s="18"/>
      <c r="H14" s="18"/>
      <c r="I14" s="18"/>
    </row>
    <row r="15" spans="2:9" ht="15.75" customHeight="1" x14ac:dyDescent="0.3">
      <c r="B15" s="40">
        <v>5</v>
      </c>
      <c r="C15" s="15" t="s">
        <v>22</v>
      </c>
      <c r="D15" s="14">
        <v>278555634</v>
      </c>
      <c r="E15" s="14">
        <v>278555634</v>
      </c>
      <c r="F15" s="14">
        <v>163698976</v>
      </c>
      <c r="G15" s="14">
        <v>180842196</v>
      </c>
      <c r="H15" s="14">
        <v>180842196</v>
      </c>
      <c r="I15" s="14">
        <v>180842196</v>
      </c>
    </row>
    <row r="16" spans="2:9" ht="15.75" customHeight="1" x14ac:dyDescent="0.3">
      <c r="B16" s="40">
        <v>6</v>
      </c>
      <c r="C16" s="15" t="s">
        <v>23</v>
      </c>
      <c r="D16" s="14">
        <v>39306324</v>
      </c>
      <c r="E16" s="14">
        <v>39306324</v>
      </c>
      <c r="F16" s="14">
        <v>12831455</v>
      </c>
      <c r="G16" s="14">
        <v>10304365</v>
      </c>
      <c r="H16" s="14">
        <v>10304365</v>
      </c>
      <c r="I16" s="14">
        <v>10304365</v>
      </c>
    </row>
    <row r="17" spans="2:9" ht="15.75" customHeight="1" x14ac:dyDescent="0.3">
      <c r="B17" s="40">
        <v>7</v>
      </c>
      <c r="C17" s="19" t="s">
        <v>24</v>
      </c>
      <c r="D17" s="18"/>
      <c r="E17" s="18"/>
      <c r="F17" s="16">
        <v>247840929</v>
      </c>
      <c r="G17" s="16">
        <v>617840931</v>
      </c>
      <c r="H17" s="16">
        <v>617840931</v>
      </c>
      <c r="I17" s="16">
        <v>617840931</v>
      </c>
    </row>
    <row r="18" spans="2:9" ht="15.75" customHeight="1" x14ac:dyDescent="0.3">
      <c r="B18" s="40">
        <v>8</v>
      </c>
      <c r="C18" s="19" t="s">
        <v>25</v>
      </c>
      <c r="D18" s="18"/>
      <c r="E18" s="18"/>
      <c r="F18" s="16">
        <v>395000000</v>
      </c>
      <c r="G18" s="16">
        <v>24999998</v>
      </c>
      <c r="H18" s="16">
        <v>24999998</v>
      </c>
      <c r="I18" s="16">
        <v>24999998</v>
      </c>
    </row>
    <row r="19" spans="2:9" ht="15.75" customHeight="1" x14ac:dyDescent="0.3">
      <c r="B19" s="40">
        <v>9</v>
      </c>
      <c r="C19" s="15" t="s">
        <v>26</v>
      </c>
      <c r="D19" s="14">
        <f t="shared" ref="D19:I19" si="3">SUM(D20:D21)</f>
        <v>287133100</v>
      </c>
      <c r="E19" s="14">
        <f t="shared" si="3"/>
        <v>221610104</v>
      </c>
      <c r="F19" s="14">
        <f t="shared" si="3"/>
        <v>221610104</v>
      </c>
      <c r="G19" s="14">
        <f t="shared" si="3"/>
        <v>221610104</v>
      </c>
      <c r="H19" s="14">
        <f t="shared" si="3"/>
        <v>221610104</v>
      </c>
      <c r="I19" s="14">
        <f t="shared" si="3"/>
        <v>221610104</v>
      </c>
    </row>
    <row r="20" spans="2:9" ht="15.75" customHeight="1" x14ac:dyDescent="0.3">
      <c r="B20" s="44">
        <v>9.1</v>
      </c>
      <c r="C20" s="45" t="s">
        <v>27</v>
      </c>
      <c r="D20" s="14">
        <v>37133100</v>
      </c>
      <c r="E20" s="14">
        <v>39111743</v>
      </c>
      <c r="F20" s="14">
        <v>39111743</v>
      </c>
      <c r="G20" s="14">
        <v>39111743</v>
      </c>
      <c r="H20" s="14">
        <v>39111743</v>
      </c>
      <c r="I20" s="14">
        <v>39111743</v>
      </c>
    </row>
    <row r="21" spans="2:9" ht="15.75" customHeight="1" x14ac:dyDescent="0.3">
      <c r="B21" s="44">
        <v>9.1999999999999993</v>
      </c>
      <c r="C21" s="45" t="s">
        <v>28</v>
      </c>
      <c r="D21" s="14">
        <v>250000000</v>
      </c>
      <c r="E21" s="14">
        <v>182498361</v>
      </c>
      <c r="F21" s="14">
        <v>182498361</v>
      </c>
      <c r="G21" s="14">
        <v>182498361</v>
      </c>
      <c r="H21" s="14">
        <v>182498361</v>
      </c>
      <c r="I21" s="14">
        <v>182498361</v>
      </c>
    </row>
    <row r="22" spans="2:9" ht="15.75" customHeight="1" x14ac:dyDescent="0.3">
      <c r="B22" s="42">
        <v>10</v>
      </c>
      <c r="C22" s="20" t="s">
        <v>29</v>
      </c>
      <c r="D22" s="18"/>
      <c r="E22" s="18"/>
      <c r="F22" s="14">
        <v>26358170</v>
      </c>
      <c r="G22" s="14">
        <v>26358170</v>
      </c>
      <c r="H22" s="14">
        <v>26358170</v>
      </c>
      <c r="I22" s="14">
        <v>26358170</v>
      </c>
    </row>
    <row r="23" spans="2:9" ht="15.75" customHeight="1" x14ac:dyDescent="0.3">
      <c r="B23" s="42">
        <v>11</v>
      </c>
      <c r="C23" s="20" t="s">
        <v>30</v>
      </c>
      <c r="D23" s="18"/>
      <c r="E23" s="18"/>
      <c r="F23" s="18"/>
      <c r="G23" s="14">
        <v>6788254</v>
      </c>
      <c r="H23" s="14">
        <v>6788254</v>
      </c>
      <c r="I23" s="14">
        <v>6788254</v>
      </c>
    </row>
    <row r="24" spans="2:9" ht="15.75" customHeight="1" x14ac:dyDescent="0.3">
      <c r="B24" s="42">
        <v>12</v>
      </c>
      <c r="C24" s="20" t="s">
        <v>31</v>
      </c>
      <c r="D24" s="18"/>
      <c r="E24" s="18"/>
      <c r="F24" s="18"/>
      <c r="G24" s="14">
        <v>3884888</v>
      </c>
      <c r="H24" s="14">
        <v>3884888</v>
      </c>
      <c r="I24" s="14">
        <v>3884888</v>
      </c>
    </row>
    <row r="25" spans="2:9" ht="15.75" customHeight="1" x14ac:dyDescent="0.3">
      <c r="B25" s="36" t="s">
        <v>32</v>
      </c>
      <c r="C25" s="21" t="s">
        <v>33</v>
      </c>
      <c r="D25" s="21"/>
      <c r="E25" s="21"/>
      <c r="F25" s="12">
        <f t="shared" ref="F25:I25" si="4">F35+F36</f>
        <v>438061697</v>
      </c>
      <c r="G25" s="12">
        <f t="shared" si="4"/>
        <v>731743291</v>
      </c>
      <c r="H25" s="12">
        <f t="shared" si="4"/>
        <v>1196229990</v>
      </c>
      <c r="I25" s="12">
        <f t="shared" si="4"/>
        <v>1957442382</v>
      </c>
    </row>
    <row r="26" spans="2:9" ht="15.75" customHeight="1" x14ac:dyDescent="0.3">
      <c r="B26" s="40">
        <v>1</v>
      </c>
      <c r="C26" s="15" t="s">
        <v>12</v>
      </c>
      <c r="D26" s="13"/>
      <c r="E26" s="13"/>
      <c r="F26" s="22">
        <v>35824735</v>
      </c>
      <c r="G26" s="14">
        <v>83601424</v>
      </c>
      <c r="H26" s="14">
        <v>119991901</v>
      </c>
      <c r="I26" s="14">
        <v>213075246</v>
      </c>
    </row>
    <row r="27" spans="2:9" ht="12.45" x14ac:dyDescent="0.3">
      <c r="B27" s="40">
        <v>2</v>
      </c>
      <c r="C27" s="15" t="s">
        <v>13</v>
      </c>
      <c r="D27" s="13"/>
      <c r="E27" s="13"/>
      <c r="F27" s="22">
        <v>2862134</v>
      </c>
      <c r="G27" s="14">
        <v>4910487</v>
      </c>
      <c r="H27" s="14">
        <v>18610580</v>
      </c>
      <c r="I27" s="14">
        <v>32772204</v>
      </c>
    </row>
    <row r="28" spans="2:9" ht="12.45" x14ac:dyDescent="0.3">
      <c r="B28" s="40">
        <v>3</v>
      </c>
      <c r="C28" s="15" t="s">
        <v>14</v>
      </c>
      <c r="D28" s="13"/>
      <c r="E28" s="13"/>
      <c r="F28" s="13"/>
      <c r="G28" s="18"/>
      <c r="H28" s="14">
        <v>6712090</v>
      </c>
      <c r="I28" s="14">
        <v>15523108</v>
      </c>
    </row>
    <row r="29" spans="2:9" ht="12.45" x14ac:dyDescent="0.3">
      <c r="B29" s="40">
        <v>4</v>
      </c>
      <c r="C29" s="15" t="s">
        <v>18</v>
      </c>
      <c r="D29" s="13"/>
      <c r="E29" s="13"/>
      <c r="F29" s="22">
        <f t="shared" ref="F29:I29" si="5">SUM(F30:F32)</f>
        <v>122903506</v>
      </c>
      <c r="G29" s="22">
        <f t="shared" si="5"/>
        <v>306760057</v>
      </c>
      <c r="H29" s="22">
        <f t="shared" si="5"/>
        <v>612019910</v>
      </c>
      <c r="I29" s="22">
        <f t="shared" si="5"/>
        <v>1094006822</v>
      </c>
    </row>
    <row r="30" spans="2:9" ht="12.45" x14ac:dyDescent="0.3">
      <c r="B30" s="41">
        <v>4.0999999999999996</v>
      </c>
      <c r="C30" s="45" t="s">
        <v>19</v>
      </c>
      <c r="D30" s="13"/>
      <c r="E30" s="13"/>
      <c r="F30" s="22">
        <v>88093907</v>
      </c>
      <c r="G30" s="16">
        <v>213696279</v>
      </c>
      <c r="H30" s="16">
        <v>362618546</v>
      </c>
      <c r="I30" s="16">
        <v>660389140</v>
      </c>
    </row>
    <row r="31" spans="2:9" ht="12.45" x14ac:dyDescent="0.3">
      <c r="B31" s="41">
        <v>4.2</v>
      </c>
      <c r="C31" s="45" t="s">
        <v>20</v>
      </c>
      <c r="D31" s="13"/>
      <c r="E31" s="13"/>
      <c r="F31" s="22">
        <v>34809599</v>
      </c>
      <c r="G31" s="16">
        <v>93063778</v>
      </c>
      <c r="H31" s="16">
        <v>249401364</v>
      </c>
      <c r="I31" s="16">
        <v>433617682</v>
      </c>
    </row>
    <row r="32" spans="2:9" ht="12.45" x14ac:dyDescent="0.3">
      <c r="B32" s="41">
        <v>4.3</v>
      </c>
      <c r="C32" s="45" t="s">
        <v>21</v>
      </c>
      <c r="D32" s="13"/>
      <c r="E32" s="13"/>
      <c r="F32" s="13"/>
      <c r="G32" s="18"/>
      <c r="H32" s="18"/>
      <c r="I32" s="18"/>
    </row>
    <row r="33" spans="2:9" ht="12.45" x14ac:dyDescent="0.3">
      <c r="B33" s="40">
        <v>5</v>
      </c>
      <c r="C33" s="15" t="s">
        <v>23</v>
      </c>
      <c r="D33" s="13"/>
      <c r="E33" s="13"/>
      <c r="F33" s="22">
        <v>26471322</v>
      </c>
      <c r="G33" s="16">
        <v>26471323</v>
      </c>
      <c r="H33" s="16">
        <v>59502125</v>
      </c>
      <c r="I33" s="16">
        <v>106013242</v>
      </c>
    </row>
    <row r="34" spans="2:9" ht="12.45" x14ac:dyDescent="0.3">
      <c r="B34" s="40">
        <v>6</v>
      </c>
      <c r="C34" s="15" t="s">
        <v>34</v>
      </c>
      <c r="D34" s="13"/>
      <c r="E34" s="13"/>
      <c r="F34" s="13"/>
      <c r="G34" s="18"/>
      <c r="H34" s="16">
        <v>36933653</v>
      </c>
      <c r="I34" s="16">
        <v>48733653</v>
      </c>
    </row>
    <row r="35" spans="2:9" ht="12.45" x14ac:dyDescent="0.3">
      <c r="B35" s="35"/>
      <c r="C35" s="23" t="s">
        <v>35</v>
      </c>
      <c r="D35" s="24"/>
      <c r="E35" s="24"/>
      <c r="F35" s="25">
        <f t="shared" ref="F35:I35" si="6">F26+F27+F28+F29+F33+F34</f>
        <v>188061697</v>
      </c>
      <c r="G35" s="25">
        <f t="shared" si="6"/>
        <v>421743291</v>
      </c>
      <c r="H35" s="25">
        <f t="shared" si="6"/>
        <v>853770259</v>
      </c>
      <c r="I35" s="25">
        <f t="shared" si="6"/>
        <v>1510124275</v>
      </c>
    </row>
    <row r="36" spans="2:9" ht="12.45" x14ac:dyDescent="0.3">
      <c r="B36" s="40">
        <v>7</v>
      </c>
      <c r="C36" s="15" t="s">
        <v>22</v>
      </c>
      <c r="D36" s="18"/>
      <c r="E36" s="18"/>
      <c r="F36" s="16">
        <v>250000000</v>
      </c>
      <c r="G36" s="16">
        <v>310000000</v>
      </c>
      <c r="H36" s="16">
        <v>342459731</v>
      </c>
      <c r="I36" s="16">
        <v>447318107</v>
      </c>
    </row>
    <row r="37" spans="2:9" ht="12.45" x14ac:dyDescent="0.3">
      <c r="B37" s="37" t="s">
        <v>36</v>
      </c>
      <c r="C37" s="21" t="s">
        <v>37</v>
      </c>
      <c r="D37" s="12">
        <f t="shared" ref="D37:I37" si="7">D38+D39+D44</f>
        <v>36358120</v>
      </c>
      <c r="E37" s="12">
        <f t="shared" si="7"/>
        <v>36358120</v>
      </c>
      <c r="F37" s="12">
        <f t="shared" si="7"/>
        <v>36358120</v>
      </c>
      <c r="G37" s="12">
        <f t="shared" si="7"/>
        <v>272958120</v>
      </c>
      <c r="H37" s="12">
        <f t="shared" si="7"/>
        <v>444542262</v>
      </c>
      <c r="I37" s="12">
        <f t="shared" si="7"/>
        <v>466750580</v>
      </c>
    </row>
    <row r="38" spans="2:9" ht="12.45" x14ac:dyDescent="0.3">
      <c r="B38" s="40">
        <v>1</v>
      </c>
      <c r="C38" s="19" t="s">
        <v>38</v>
      </c>
      <c r="D38" s="26">
        <v>36358120</v>
      </c>
      <c r="E38" s="26">
        <v>36358120</v>
      </c>
      <c r="F38" s="26">
        <v>36358120</v>
      </c>
      <c r="G38" s="26">
        <v>36358120</v>
      </c>
      <c r="H38" s="26">
        <v>36358120</v>
      </c>
      <c r="I38" s="26">
        <v>36358120</v>
      </c>
    </row>
    <row r="39" spans="2:9" ht="12.45" x14ac:dyDescent="0.3">
      <c r="B39" s="42">
        <v>2</v>
      </c>
      <c r="C39" s="19" t="s">
        <v>39</v>
      </c>
      <c r="D39" s="27"/>
      <c r="E39" s="27"/>
      <c r="F39" s="27"/>
      <c r="G39" s="26">
        <f t="shared" ref="G39:I39" si="8">SUM(G40:G43)</f>
        <v>236600000</v>
      </c>
      <c r="H39" s="26">
        <f t="shared" si="8"/>
        <v>408184142</v>
      </c>
      <c r="I39" s="26">
        <f t="shared" si="8"/>
        <v>420177116</v>
      </c>
    </row>
    <row r="40" spans="2:9" ht="12.45" x14ac:dyDescent="0.3">
      <c r="B40" s="43">
        <v>2.1</v>
      </c>
      <c r="C40" s="46" t="s">
        <v>40</v>
      </c>
      <c r="D40" s="28"/>
      <c r="E40" s="28"/>
      <c r="F40" s="28"/>
      <c r="G40" s="29">
        <v>206600000</v>
      </c>
      <c r="H40" s="29">
        <v>244937495</v>
      </c>
      <c r="I40" s="29">
        <v>244937495</v>
      </c>
    </row>
    <row r="41" spans="2:9" ht="12.45" x14ac:dyDescent="0.3">
      <c r="B41" s="43">
        <v>2.2000000000000002</v>
      </c>
      <c r="C41" s="46" t="s">
        <v>41</v>
      </c>
      <c r="D41" s="28"/>
      <c r="E41" s="28"/>
      <c r="F41" s="28"/>
      <c r="G41" s="29">
        <v>30000000</v>
      </c>
      <c r="H41" s="29">
        <v>30000000</v>
      </c>
      <c r="I41" s="29">
        <v>30000000</v>
      </c>
    </row>
    <row r="42" spans="2:9" ht="12.45" x14ac:dyDescent="0.3">
      <c r="B42" s="43">
        <v>2.2999999999999998</v>
      </c>
      <c r="C42" s="46" t="s">
        <v>42</v>
      </c>
      <c r="D42" s="28"/>
      <c r="E42" s="28"/>
      <c r="F42" s="28"/>
      <c r="G42" s="30"/>
      <c r="H42" s="29">
        <v>133246647</v>
      </c>
      <c r="I42" s="29">
        <v>95815523</v>
      </c>
    </row>
    <row r="43" spans="2:9" ht="12.45" x14ac:dyDescent="0.3">
      <c r="B43" s="43">
        <v>2.4</v>
      </c>
      <c r="C43" s="46" t="s">
        <v>43</v>
      </c>
      <c r="D43" s="28"/>
      <c r="E43" s="28"/>
      <c r="F43" s="28"/>
      <c r="G43" s="30"/>
      <c r="H43" s="30"/>
      <c r="I43" s="29">
        <v>49424098</v>
      </c>
    </row>
    <row r="44" spans="2:9" ht="12.45" x14ac:dyDescent="0.3">
      <c r="B44" s="42">
        <v>3</v>
      </c>
      <c r="C44" s="20" t="s">
        <v>44</v>
      </c>
      <c r="D44" s="28"/>
      <c r="E44" s="28"/>
      <c r="F44" s="28"/>
      <c r="G44" s="30"/>
      <c r="H44" s="30"/>
      <c r="I44" s="26">
        <v>10215344</v>
      </c>
    </row>
    <row r="45" spans="2:9" ht="12.45" x14ac:dyDescent="0.3">
      <c r="B45" s="37" t="s">
        <v>45</v>
      </c>
      <c r="C45" s="21" t="s">
        <v>46</v>
      </c>
      <c r="D45" s="21"/>
      <c r="E45" s="21"/>
      <c r="F45" s="21"/>
      <c r="G45" s="12">
        <f t="shared" ref="G45:I45" si="9">SUM(G46)</f>
        <v>-19743290</v>
      </c>
      <c r="H45" s="12">
        <f t="shared" si="9"/>
        <v>-19743290</v>
      </c>
      <c r="I45" s="12">
        <f t="shared" si="9"/>
        <v>-19743290</v>
      </c>
    </row>
    <row r="46" spans="2:9" ht="12.45" x14ac:dyDescent="0.3">
      <c r="B46" s="40">
        <v>1</v>
      </c>
      <c r="C46" s="17" t="s">
        <v>47</v>
      </c>
      <c r="D46" s="31"/>
      <c r="E46" s="31"/>
      <c r="F46" s="31"/>
      <c r="G46" s="26">
        <v>-19743290</v>
      </c>
      <c r="H46" s="26">
        <v>-19743290</v>
      </c>
      <c r="I46" s="26">
        <v>-19743290</v>
      </c>
    </row>
    <row r="47" spans="2:9" ht="12.45" x14ac:dyDescent="0.3">
      <c r="B47" s="38"/>
      <c r="C47" s="32" t="s">
        <v>48</v>
      </c>
      <c r="D47" s="33">
        <f t="shared" ref="D47:I47" si="10">D4+D25+D37+D45</f>
        <v>2432775726</v>
      </c>
      <c r="E47" s="33">
        <f t="shared" si="10"/>
        <v>2367252730</v>
      </c>
      <c r="F47" s="33">
        <f t="shared" si="10"/>
        <v>3140999999</v>
      </c>
      <c r="G47" s="33">
        <f t="shared" si="10"/>
        <v>3628379837</v>
      </c>
      <c r="H47" s="33">
        <f t="shared" si="10"/>
        <v>4264450678</v>
      </c>
      <c r="I47" s="33">
        <f t="shared" si="10"/>
        <v>5047871388</v>
      </c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F0CDD73FF3F47A76F379C46332AE0" ma:contentTypeVersion="10" ma:contentTypeDescription="Create a new document." ma:contentTypeScope="" ma:versionID="f6ab573e334f52d1f146fc963a9e40cc">
  <xsd:schema xmlns:xsd="http://www.w3.org/2001/XMLSchema" xmlns:xs="http://www.w3.org/2001/XMLSchema" xmlns:p="http://schemas.microsoft.com/office/2006/metadata/properties" xmlns:ns2="00563c3c-a975-4a5d-8dff-21f8db853ff1" xmlns:ns3="5a47acd9-e56a-4eec-92b3-7e35c045af06" targetNamespace="http://schemas.microsoft.com/office/2006/metadata/properties" ma:root="true" ma:fieldsID="3bad71438013f6bfc18108690bf61302" ns2:_="" ns3:_="">
    <xsd:import namespace="00563c3c-a975-4a5d-8dff-21f8db853ff1"/>
    <xsd:import namespace="5a47acd9-e56a-4eec-92b3-7e35c045a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63c3c-a975-4a5d-8dff-21f8db853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efe45b-124d-44b4-b377-a6435a0ea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7acd9-e56a-4eec-92b3-7e35c045af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e5cc04-3268-4541-9176-38e25ba8dbe7}" ma:internalName="TaxCatchAll" ma:showField="CatchAllData" ma:web="5a47acd9-e56a-4eec-92b3-7e35c045a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47acd9-e56a-4eec-92b3-7e35c045af06" xsi:nil="true"/>
    <lcf76f155ced4ddcb4097134ff3c332f xmlns="00563c3c-a975-4a5d-8dff-21f8db853f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18DF88-F50C-4D47-8165-D3AD6CFB7B14}"/>
</file>

<file path=customXml/itemProps2.xml><?xml version="1.0" encoding="utf-8"?>
<ds:datastoreItem xmlns:ds="http://schemas.openxmlformats.org/officeDocument/2006/customXml" ds:itemID="{4196FEA2-ACF6-4589-A8B0-7A236587CF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8E5A33-D270-4AC0-B4EF-192B3D7F64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(2)</vt:lpstr>
      <vt:lpstr>Contract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Rachmat Syarif</cp:lastModifiedBy>
  <cp:revision/>
  <dcterms:created xsi:type="dcterms:W3CDTF">2025-12-18T13:52:55Z</dcterms:created>
  <dcterms:modified xsi:type="dcterms:W3CDTF">2026-01-19T21:56:03Z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0x0101005F8F0CDD73FF3F47A76F379C46332AE0</vt:lpwstr>
  </property>
</Properties>
</file>